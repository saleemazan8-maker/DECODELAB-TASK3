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Raw_Extract" sheetId="2" state="visible" r:id="rId4"/>
    <sheet name="Egress_Chec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<sst xmlns="http://schemas.openxmlformats.org/spreadsheetml/2006/main" count="456" uniqueCount="155">
  <si>
    <t xml:space="preserve">DecodeLabs — Project 3 | Furniture Bill of Materials</t>
  </si>
  <si>
    <t xml:space="preserve">Source: P3_INTERIOR_Layout.dxf via DATAEXTRACTION (attribute tags ASSET_ID / ITEM_TYPE / MANUFACTURER / UNIT_PRICE)</t>
  </si>
  <si>
    <t xml:space="preserve">Block Name</t>
  </si>
  <si>
    <t xml:space="preserve">Item Type</t>
  </si>
  <si>
    <t xml:space="preserve">Manufacturer</t>
  </si>
  <si>
    <t xml:space="preserve">Qty</t>
  </si>
  <si>
    <t xml:space="preserve">Unit Price ($)</t>
  </si>
  <si>
    <t xml:space="preserve">Extended Cost ($)</t>
  </si>
  <si>
    <t xml:space="preserve">WS_DESK</t>
  </si>
  <si>
    <t xml:space="preserve">Bench Desk 1500x750</t>
  </si>
  <si>
    <t xml:space="preserve">Steelcase</t>
  </si>
  <si>
    <t xml:space="preserve">TASK_CHAIR</t>
  </si>
  <si>
    <t xml:space="preserve">Task Chair</t>
  </si>
  <si>
    <t xml:space="preserve">Herman Miller</t>
  </si>
  <si>
    <t xml:space="preserve">FILE_CAB</t>
  </si>
  <si>
    <t xml:space="preserve">3-Drawer Pedestal</t>
  </si>
  <si>
    <t xml:space="preserve">Bisley</t>
  </si>
  <si>
    <t xml:space="preserve">EXEC_DESK</t>
  </si>
  <si>
    <t xml:space="preserve">Executive Desk 1800x800</t>
  </si>
  <si>
    <t xml:space="preserve">CONF_TABLE</t>
  </si>
  <si>
    <t xml:space="preserve">Conference Table 3600x1400</t>
  </si>
  <si>
    <t xml:space="preserve">Vitra</t>
  </si>
  <si>
    <t xml:space="preserve">TOTAL</t>
  </si>
  <si>
    <t xml:space="preserve">Contingency %</t>
  </si>
  <si>
    <t xml:space="preserve">Budget incl. contingency</t>
  </si>
  <si>
    <t xml:space="preserve">ASSET_ID</t>
  </si>
  <si>
    <t xml:space="preserve">BLOCK</t>
  </si>
  <si>
    <t xml:space="preserve">ITEM_TYPE</t>
  </si>
  <si>
    <t xml:space="preserve">MANUFACTURER</t>
  </si>
  <si>
    <t xml:space="preserve">UNIT_PRICE</t>
  </si>
  <si>
    <t xml:space="preserve">X (mm)</t>
  </si>
  <si>
    <t xml:space="preserve">Y (mm)</t>
  </si>
  <si>
    <t xml:space="preserve">WS-001</t>
  </si>
  <si>
    <t xml:space="preserve">TA-002</t>
  </si>
  <si>
    <t xml:space="preserve">WS-003</t>
  </si>
  <si>
    <t xml:space="preserve">TA-004</t>
  </si>
  <si>
    <t xml:space="preserve">WS-005</t>
  </si>
  <si>
    <t xml:space="preserve">TA-006</t>
  </si>
  <si>
    <t xml:space="preserve">WS-007</t>
  </si>
  <si>
    <t xml:space="preserve">TA-008</t>
  </si>
  <si>
    <t xml:space="preserve">FI-009</t>
  </si>
  <si>
    <t xml:space="preserve">WS-010</t>
  </si>
  <si>
    <t xml:space="preserve">TA-011</t>
  </si>
  <si>
    <t xml:space="preserve">WS-012</t>
  </si>
  <si>
    <t xml:space="preserve">TA-013</t>
  </si>
  <si>
    <t xml:space="preserve">WS-014</t>
  </si>
  <si>
    <t xml:space="preserve">TA-015</t>
  </si>
  <si>
    <t xml:space="preserve">WS-016</t>
  </si>
  <si>
    <t xml:space="preserve">TA-017</t>
  </si>
  <si>
    <t xml:space="preserve">FI-018</t>
  </si>
  <si>
    <t xml:space="preserve">WS-019</t>
  </si>
  <si>
    <t xml:space="preserve">TA-020</t>
  </si>
  <si>
    <t xml:space="preserve">WS-021</t>
  </si>
  <si>
    <t xml:space="preserve">TA-022</t>
  </si>
  <si>
    <t xml:space="preserve">WS-023</t>
  </si>
  <si>
    <t xml:space="preserve">TA-024</t>
  </si>
  <si>
    <t xml:space="preserve">WS-025</t>
  </si>
  <si>
    <t xml:space="preserve">TA-026</t>
  </si>
  <si>
    <t xml:space="preserve">FI-027</t>
  </si>
  <si>
    <t xml:space="preserve">WS-028</t>
  </si>
  <si>
    <t xml:space="preserve">TA-029</t>
  </si>
  <si>
    <t xml:space="preserve">WS-030</t>
  </si>
  <si>
    <t xml:space="preserve">TA-031</t>
  </si>
  <si>
    <t xml:space="preserve">WS-032</t>
  </si>
  <si>
    <t xml:space="preserve">TA-033</t>
  </si>
  <si>
    <t xml:space="preserve">WS-034</t>
  </si>
  <si>
    <t xml:space="preserve">TA-035</t>
  </si>
  <si>
    <t xml:space="preserve">FI-036</t>
  </si>
  <si>
    <t xml:space="preserve">WS-037</t>
  </si>
  <si>
    <t xml:space="preserve">TA-038</t>
  </si>
  <si>
    <t xml:space="preserve">WS-039</t>
  </si>
  <si>
    <t xml:space="preserve">TA-040</t>
  </si>
  <si>
    <t xml:space="preserve">WS-041</t>
  </si>
  <si>
    <t xml:space="preserve">TA-042</t>
  </si>
  <si>
    <t xml:space="preserve">WS-043</t>
  </si>
  <si>
    <t xml:space="preserve">TA-044</t>
  </si>
  <si>
    <t xml:space="preserve">FI-045</t>
  </si>
  <si>
    <t xml:space="preserve">WS-046</t>
  </si>
  <si>
    <t xml:space="preserve">TA-047</t>
  </si>
  <si>
    <t xml:space="preserve">WS-048</t>
  </si>
  <si>
    <t xml:space="preserve">TA-049</t>
  </si>
  <si>
    <t xml:space="preserve">WS-050</t>
  </si>
  <si>
    <t xml:space="preserve">TA-051</t>
  </si>
  <si>
    <t xml:space="preserve">WS-052</t>
  </si>
  <si>
    <t xml:space="preserve">TA-053</t>
  </si>
  <si>
    <t xml:space="preserve">FI-054</t>
  </si>
  <si>
    <t xml:space="preserve">WS-055</t>
  </si>
  <si>
    <t xml:space="preserve">TA-056</t>
  </si>
  <si>
    <t xml:space="preserve">WS-057</t>
  </si>
  <si>
    <t xml:space="preserve">TA-058</t>
  </si>
  <si>
    <t xml:space="preserve">WS-059</t>
  </si>
  <si>
    <t xml:space="preserve">TA-060</t>
  </si>
  <si>
    <t xml:space="preserve">WS-061</t>
  </si>
  <si>
    <t xml:space="preserve">TA-062</t>
  </si>
  <si>
    <t xml:space="preserve">FI-063</t>
  </si>
  <si>
    <t xml:space="preserve">WS-064</t>
  </si>
  <si>
    <t xml:space="preserve">TA-065</t>
  </si>
  <si>
    <t xml:space="preserve">WS-066</t>
  </si>
  <si>
    <t xml:space="preserve">TA-067</t>
  </si>
  <si>
    <t xml:space="preserve">WS-068</t>
  </si>
  <si>
    <t xml:space="preserve">TA-069</t>
  </si>
  <si>
    <t xml:space="preserve">WS-070</t>
  </si>
  <si>
    <t xml:space="preserve">TA-071</t>
  </si>
  <si>
    <t xml:space="preserve">FI-072</t>
  </si>
  <si>
    <t xml:space="preserve">WS-073</t>
  </si>
  <si>
    <t xml:space="preserve">TA-074</t>
  </si>
  <si>
    <t xml:space="preserve">WS-075</t>
  </si>
  <si>
    <t xml:space="preserve">TA-076</t>
  </si>
  <si>
    <t xml:space="preserve">WS-077</t>
  </si>
  <si>
    <t xml:space="preserve">TA-078</t>
  </si>
  <si>
    <t xml:space="preserve">WS-079</t>
  </si>
  <si>
    <t xml:space="preserve">TA-080</t>
  </si>
  <si>
    <t xml:space="preserve">FI-081</t>
  </si>
  <si>
    <t xml:space="preserve">EX-082</t>
  </si>
  <si>
    <t xml:space="preserve">TA-083</t>
  </si>
  <si>
    <t xml:space="preserve">FI-084</t>
  </si>
  <si>
    <t xml:space="preserve">EX-085</t>
  </si>
  <si>
    <t xml:space="preserve">TA-086</t>
  </si>
  <si>
    <t xml:space="preserve">FI-087</t>
  </si>
  <si>
    <t xml:space="preserve">EX-088</t>
  </si>
  <si>
    <t xml:space="preserve">TA-089</t>
  </si>
  <si>
    <t xml:space="preserve">FI-090</t>
  </si>
  <si>
    <t xml:space="preserve">EX-091</t>
  </si>
  <si>
    <t xml:space="preserve">TA-092</t>
  </si>
  <si>
    <t xml:space="preserve">FI-093</t>
  </si>
  <si>
    <t xml:space="preserve">CO-094</t>
  </si>
  <si>
    <t xml:space="preserve">TA-095</t>
  </si>
  <si>
    <t xml:space="preserve">TA-096</t>
  </si>
  <si>
    <t xml:space="preserve">TA-097</t>
  </si>
  <si>
    <t xml:space="preserve">TA-098</t>
  </si>
  <si>
    <t xml:space="preserve">TA-099</t>
  </si>
  <si>
    <t xml:space="preserve">TA-100</t>
  </si>
  <si>
    <t xml:space="preserve">Parameter</t>
  </si>
  <si>
    <t xml:space="preserve">Value</t>
  </si>
  <si>
    <t xml:space="preserve">Note</t>
  </si>
  <si>
    <t xml:space="preserve">Floor area (m²)</t>
  </si>
  <si>
    <t xml:space="preserve">Source: 30.0 m x 20.0 m shell footprint, P3_SHELL_Architectural.dxf</t>
  </si>
  <si>
    <t xml:space="preserve">Floor area (sq ft)</t>
  </si>
  <si>
    <t xml:space="preserve">Metric to imperial conversion</t>
  </si>
  <si>
    <t xml:space="preserve">Occupant load factor (sq ft/person)</t>
  </si>
  <si>
    <t xml:space="preserve">Source: IBC Table 1004.5, Business areas, gross</t>
  </si>
  <si>
    <t xml:space="preserve">Occupant load (persons)</t>
  </si>
  <si>
    <t xml:space="preserve">OL = Floor Area / Load Factor</t>
  </si>
  <si>
    <t xml:space="preserve">Egress capacity factor (in/person)</t>
  </si>
  <si>
    <t xml:space="preserve">Source: IBC 1005.3.2, sprinklered</t>
  </si>
  <si>
    <t xml:space="preserve">Calculated egress width (in)</t>
  </si>
  <si>
    <t xml:space="preserve">IBC minimum corridor width (in)</t>
  </si>
  <si>
    <t xml:space="preserve">Source: IBC 1020.3</t>
  </si>
  <si>
    <t xml:space="preserve">Governing width (in)</t>
  </si>
  <si>
    <t xml:space="preserve">The larger value controls</t>
  </si>
  <si>
    <t xml:space="preserve">Corridor width provided (mm)</t>
  </si>
  <si>
    <t xml:space="preserve">As drawn on layer I-EGRESS</t>
  </si>
  <si>
    <t xml:space="preserve">Corridor width provided (in)</t>
  </si>
  <si>
    <t xml:space="preserve">COMPLIANT?</t>
  </si>
  <si>
    <t xml:space="preserve">Provided must meet or exceed governing width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</si>
</sst>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4" t="s">
        <v>5</v>
      </c>
      <c r="E4" s="4" t="s">
        <v>6</v>
      </c>
      <c r="F4" s="4" t="s">
        <v>7</v>
      </c>
    </row>
    <row r="5" customFormat="false" ht="15" hidden="false" customHeight="false" outlineLevel="0" collapsed="false">
      <c r="A5" s="5" t="s">
        <v>8</v>
      </c>
      <c r="B5" s="5" t="s">
        <v>9</v>
      </c>
      <c r="C5" s="5" t="s">
        <v>10</v>
      </c>
      <c r="D5" s="6" t="n">
        <v>36</v>
      </c>
      <c r="E5" s="7" t="n">
        <v>310</v>
      </c>
      <c r="F5" s="7" t="n">
        <f aca="false">D5*E5</f>
        <v>11160</v>
      </c>
    </row>
    <row r="6" customFormat="false" ht="15" hidden="false" customHeight="false" outlineLevel="0" collapsed="false">
      <c r="A6" s="5" t="s">
        <v>11</v>
      </c>
      <c r="B6" s="5" t="s">
        <v>12</v>
      </c>
      <c r="C6" s="5" t="s">
        <v>13</v>
      </c>
      <c r="D6" s="6" t="n">
        <v>46</v>
      </c>
      <c r="E6" s="7" t="n">
        <v>185.5</v>
      </c>
      <c r="F6" s="7" t="n">
        <f aca="false">D6*E6</f>
        <v>8533</v>
      </c>
    </row>
    <row r="7" customFormat="false" ht="15" hidden="false" customHeight="false" outlineLevel="0" collapsed="false">
      <c r="A7" s="5" t="s">
        <v>14</v>
      </c>
      <c r="B7" s="5" t="s">
        <v>15</v>
      </c>
      <c r="C7" s="5" t="s">
        <v>16</v>
      </c>
      <c r="D7" s="6" t="n">
        <v>13</v>
      </c>
      <c r="E7" s="7" t="n">
        <v>142</v>
      </c>
      <c r="F7" s="7" t="n">
        <f aca="false">D7*E7</f>
        <v>1846</v>
      </c>
    </row>
    <row r="8" customFormat="false" ht="15" hidden="false" customHeight="false" outlineLevel="0" collapsed="false">
      <c r="A8" s="5" t="s">
        <v>17</v>
      </c>
      <c r="B8" s="5" t="s">
        <v>18</v>
      </c>
      <c r="C8" s="5" t="s">
        <v>10</v>
      </c>
      <c r="D8" s="6" t="n">
        <v>4</v>
      </c>
      <c r="E8" s="7" t="n">
        <v>640</v>
      </c>
      <c r="F8" s="7" t="n">
        <f aca="false">D8*E8</f>
        <v>2560</v>
      </c>
    </row>
    <row r="9" customFormat="false" ht="15" hidden="false" customHeight="false" outlineLevel="0" collapsed="false">
      <c r="A9" s="5" t="s">
        <v>19</v>
      </c>
      <c r="B9" s="5" t="s">
        <v>20</v>
      </c>
      <c r="C9" s="5" t="s">
        <v>21</v>
      </c>
      <c r="D9" s="6" t="n">
        <v>1</v>
      </c>
      <c r="E9" s="7" t="n">
        <v>1250</v>
      </c>
      <c r="F9" s="7" t="n">
        <f aca="false">D9*E9</f>
        <v>1250</v>
      </c>
    </row>
    <row r="10" customFormat="false" ht="15" hidden="false" customHeight="false" outlineLevel="0" collapsed="false">
      <c r="C10" s="8" t="s">
        <v>22</v>
      </c>
      <c r="D10" s="8" t="n">
        <f aca="false">SUM(D5:D9)</f>
        <v>100</v>
      </c>
      <c r="F10" s="9" t="n">
        <f aca="false">SUM(F5:F9)</f>
        <v>25349</v>
      </c>
    </row>
    <row r="12" customFormat="false" ht="15" hidden="false" customHeight="false" outlineLevel="0" collapsed="false">
      <c r="C12" s="0" t="s">
        <v>23</v>
      </c>
      <c r="D12" s="10" t="n">
        <v>0.1</v>
      </c>
    </row>
    <row r="13" customFormat="false" ht="15" hidden="false" customHeight="false" outlineLevel="0" collapsed="false">
      <c r="C13" s="0" t="s">
        <v>24</v>
      </c>
      <c r="F13" s="11" t="n">
        <f aca="false">F10*(1+D12)</f>
        <v>27883.9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13"/>
    <col collapsed="false" customWidth="true" hidden="false" outlineLevel="0" max="7" min="6" style="0" width="10"/>
  </cols>
  <sheetData>
    <row r="1" customFormat="false" ht="15" hidden="false" customHeight="false" outlineLevel="0" collapsed="false">
      <c r="A1" s="12" t="s">
        <v>25</v>
      </c>
      <c r="B1" s="12" t="s">
        <v>26</v>
      </c>
      <c r="C1" s="12" t="s">
        <v>27</v>
      </c>
      <c r="D1" s="12" t="s">
        <v>28</v>
      </c>
      <c r="E1" s="12" t="s">
        <v>29</v>
      </c>
      <c r="F1" s="12" t="s">
        <v>30</v>
      </c>
      <c r="G1" s="12" t="s">
        <v>31</v>
      </c>
    </row>
    <row r="2" customFormat="false" ht="15" hidden="false" customHeight="false" outlineLevel="0" collapsed="false">
      <c r="A2" s="0" t="s">
        <v>32</v>
      </c>
      <c r="B2" s="0" t="s">
        <v>8</v>
      </c>
      <c r="C2" s="0" t="s">
        <v>9</v>
      </c>
      <c r="D2" s="0" t="s">
        <v>10</v>
      </c>
      <c r="E2" s="0" t="n">
        <v>310</v>
      </c>
      <c r="F2" s="0" t="n">
        <v>1000</v>
      </c>
      <c r="G2" s="0" t="n">
        <v>2000</v>
      </c>
    </row>
    <row r="3" customFormat="false" ht="15" hidden="false" customHeight="false" outlineLevel="0" collapsed="false">
      <c r="A3" s="0" t="s">
        <v>33</v>
      </c>
      <c r="B3" s="0" t="s">
        <v>11</v>
      </c>
      <c r="C3" s="0" t="s">
        <v>12</v>
      </c>
      <c r="D3" s="0" t="s">
        <v>13</v>
      </c>
      <c r="E3" s="0" t="n">
        <v>185.5</v>
      </c>
      <c r="F3" s="0" t="n">
        <v>1750</v>
      </c>
      <c r="G3" s="0" t="n">
        <v>1500</v>
      </c>
    </row>
    <row r="4" customFormat="false" ht="15" hidden="false" customHeight="false" outlineLevel="0" collapsed="false">
      <c r="A4" s="0" t="s">
        <v>34</v>
      </c>
      <c r="B4" s="0" t="s">
        <v>8</v>
      </c>
      <c r="C4" s="0" t="s">
        <v>9</v>
      </c>
      <c r="D4" s="0" t="s">
        <v>10</v>
      </c>
      <c r="E4" s="0" t="n">
        <v>310</v>
      </c>
      <c r="F4" s="0" t="n">
        <v>1000</v>
      </c>
      <c r="G4" s="0" t="n">
        <v>3600</v>
      </c>
    </row>
    <row r="5" customFormat="false" ht="15" hidden="false" customHeight="false" outlineLevel="0" collapsed="false">
      <c r="A5" s="0" t="s">
        <v>35</v>
      </c>
      <c r="B5" s="0" t="s">
        <v>11</v>
      </c>
      <c r="C5" s="0" t="s">
        <v>12</v>
      </c>
      <c r="D5" s="0" t="s">
        <v>13</v>
      </c>
      <c r="E5" s="0" t="n">
        <v>185.5</v>
      </c>
      <c r="F5" s="0" t="n">
        <v>1750</v>
      </c>
      <c r="G5" s="0" t="n">
        <v>4350</v>
      </c>
    </row>
    <row r="6" customFormat="false" ht="15" hidden="false" customHeight="false" outlineLevel="0" collapsed="false">
      <c r="A6" s="0" t="s">
        <v>36</v>
      </c>
      <c r="B6" s="0" t="s">
        <v>8</v>
      </c>
      <c r="C6" s="0" t="s">
        <v>9</v>
      </c>
      <c r="D6" s="0" t="s">
        <v>10</v>
      </c>
      <c r="E6" s="0" t="n">
        <v>310</v>
      </c>
      <c r="F6" s="0" t="n">
        <v>2600</v>
      </c>
      <c r="G6" s="0" t="n">
        <v>2000</v>
      </c>
    </row>
    <row r="7" customFormat="false" ht="15" hidden="false" customHeight="false" outlineLevel="0" collapsed="false">
      <c r="A7" s="0" t="s">
        <v>37</v>
      </c>
      <c r="B7" s="0" t="s">
        <v>11</v>
      </c>
      <c r="C7" s="0" t="s">
        <v>12</v>
      </c>
      <c r="D7" s="0" t="s">
        <v>13</v>
      </c>
      <c r="E7" s="0" t="n">
        <v>185.5</v>
      </c>
      <c r="F7" s="0" t="n">
        <v>3350</v>
      </c>
      <c r="G7" s="0" t="n">
        <v>1500</v>
      </c>
    </row>
    <row r="8" customFormat="false" ht="15" hidden="false" customHeight="false" outlineLevel="0" collapsed="false">
      <c r="A8" s="0" t="s">
        <v>38</v>
      </c>
      <c r="B8" s="0" t="s">
        <v>8</v>
      </c>
      <c r="C8" s="0" t="s">
        <v>9</v>
      </c>
      <c r="D8" s="0" t="s">
        <v>10</v>
      </c>
      <c r="E8" s="0" t="n">
        <v>310</v>
      </c>
      <c r="F8" s="0" t="n">
        <v>2600</v>
      </c>
      <c r="G8" s="0" t="n">
        <v>3600</v>
      </c>
    </row>
    <row r="9" customFormat="false" ht="15" hidden="false" customHeight="false" outlineLevel="0" collapsed="false">
      <c r="A9" s="0" t="s">
        <v>39</v>
      </c>
      <c r="B9" s="0" t="s">
        <v>11</v>
      </c>
      <c r="C9" s="0" t="s">
        <v>12</v>
      </c>
      <c r="D9" s="0" t="s">
        <v>13</v>
      </c>
      <c r="E9" s="0" t="n">
        <v>185.5</v>
      </c>
      <c r="F9" s="0" t="n">
        <v>3350</v>
      </c>
      <c r="G9" s="0" t="n">
        <v>4350</v>
      </c>
    </row>
    <row r="10" customFormat="false" ht="15" hidden="false" customHeight="false" outlineLevel="0" collapsed="false">
      <c r="A10" s="0" t="s">
        <v>40</v>
      </c>
      <c r="B10" s="0" t="s">
        <v>14</v>
      </c>
      <c r="C10" s="0" t="s">
        <v>15</v>
      </c>
      <c r="D10" s="0" t="s">
        <v>16</v>
      </c>
      <c r="E10" s="0" t="n">
        <v>142</v>
      </c>
      <c r="F10" s="0" t="n">
        <v>1400</v>
      </c>
      <c r="G10" s="0" t="n">
        <v>5400</v>
      </c>
    </row>
    <row r="11" customFormat="false" ht="15" hidden="false" customHeight="false" outlineLevel="0" collapsed="false">
      <c r="A11" s="0" t="s">
        <v>41</v>
      </c>
      <c r="B11" s="0" t="s">
        <v>8</v>
      </c>
      <c r="C11" s="0" t="s">
        <v>9</v>
      </c>
      <c r="D11" s="0" t="s">
        <v>10</v>
      </c>
      <c r="E11" s="0" t="n">
        <v>310</v>
      </c>
      <c r="F11" s="0" t="n">
        <v>1000</v>
      </c>
      <c r="G11" s="0" t="n">
        <v>6200</v>
      </c>
    </row>
    <row r="12" customFormat="false" ht="15" hidden="false" customHeight="false" outlineLevel="0" collapsed="false">
      <c r="A12" s="0" t="s">
        <v>42</v>
      </c>
      <c r="B12" s="0" t="s">
        <v>11</v>
      </c>
      <c r="C12" s="0" t="s">
        <v>12</v>
      </c>
      <c r="D12" s="0" t="s">
        <v>13</v>
      </c>
      <c r="E12" s="0" t="n">
        <v>185.5</v>
      </c>
      <c r="F12" s="0" t="n">
        <v>1750</v>
      </c>
      <c r="G12" s="0" t="n">
        <v>5700</v>
      </c>
    </row>
    <row r="13" customFormat="false" ht="15" hidden="false" customHeight="false" outlineLevel="0" collapsed="false">
      <c r="A13" s="0" t="s">
        <v>43</v>
      </c>
      <c r="B13" s="0" t="s">
        <v>8</v>
      </c>
      <c r="C13" s="0" t="s">
        <v>9</v>
      </c>
      <c r="D13" s="0" t="s">
        <v>10</v>
      </c>
      <c r="E13" s="0" t="n">
        <v>310</v>
      </c>
      <c r="F13" s="0" t="n">
        <v>1000</v>
      </c>
      <c r="G13" s="0" t="n">
        <v>7800</v>
      </c>
    </row>
    <row r="14" customFormat="false" ht="15" hidden="false" customHeight="false" outlineLevel="0" collapsed="false">
      <c r="A14" s="0" t="s">
        <v>44</v>
      </c>
      <c r="B14" s="0" t="s">
        <v>11</v>
      </c>
      <c r="C14" s="0" t="s">
        <v>12</v>
      </c>
      <c r="D14" s="0" t="s">
        <v>13</v>
      </c>
      <c r="E14" s="0" t="n">
        <v>185.5</v>
      </c>
      <c r="F14" s="0" t="n">
        <v>1750</v>
      </c>
      <c r="G14" s="0" t="n">
        <v>8550</v>
      </c>
    </row>
    <row r="15" customFormat="false" ht="15" hidden="false" customHeight="false" outlineLevel="0" collapsed="false">
      <c r="A15" s="0" t="s">
        <v>45</v>
      </c>
      <c r="B15" s="0" t="s">
        <v>8</v>
      </c>
      <c r="C15" s="0" t="s">
        <v>9</v>
      </c>
      <c r="D15" s="0" t="s">
        <v>10</v>
      </c>
      <c r="E15" s="0" t="n">
        <v>310</v>
      </c>
      <c r="F15" s="0" t="n">
        <v>2600</v>
      </c>
      <c r="G15" s="0" t="n">
        <v>6200</v>
      </c>
    </row>
    <row r="16" customFormat="false" ht="15" hidden="false" customHeight="false" outlineLevel="0" collapsed="false">
      <c r="A16" s="0" t="s">
        <v>46</v>
      </c>
      <c r="B16" s="0" t="s">
        <v>11</v>
      </c>
      <c r="C16" s="0" t="s">
        <v>12</v>
      </c>
      <c r="D16" s="0" t="s">
        <v>13</v>
      </c>
      <c r="E16" s="0" t="n">
        <v>185.5</v>
      </c>
      <c r="F16" s="0" t="n">
        <v>3350</v>
      </c>
      <c r="G16" s="0" t="n">
        <v>5700</v>
      </c>
    </row>
    <row r="17" customFormat="false" ht="15" hidden="false" customHeight="false" outlineLevel="0" collapsed="false">
      <c r="A17" s="0" t="s">
        <v>47</v>
      </c>
      <c r="B17" s="0" t="s">
        <v>8</v>
      </c>
      <c r="C17" s="0" t="s">
        <v>9</v>
      </c>
      <c r="D17" s="0" t="s">
        <v>10</v>
      </c>
      <c r="E17" s="0" t="n">
        <v>310</v>
      </c>
      <c r="F17" s="0" t="n">
        <v>2600</v>
      </c>
      <c r="G17" s="0" t="n">
        <v>7800</v>
      </c>
    </row>
    <row r="18" customFormat="false" ht="15" hidden="false" customHeight="false" outlineLevel="0" collapsed="false">
      <c r="A18" s="0" t="s">
        <v>48</v>
      </c>
      <c r="B18" s="0" t="s">
        <v>11</v>
      </c>
      <c r="C18" s="0" t="s">
        <v>12</v>
      </c>
      <c r="D18" s="0" t="s">
        <v>13</v>
      </c>
      <c r="E18" s="0" t="n">
        <v>185.5</v>
      </c>
      <c r="F18" s="0" t="n">
        <v>3350</v>
      </c>
      <c r="G18" s="0" t="n">
        <v>8550</v>
      </c>
    </row>
    <row r="19" customFormat="false" ht="15" hidden="false" customHeight="false" outlineLevel="0" collapsed="false">
      <c r="A19" s="0" t="s">
        <v>49</v>
      </c>
      <c r="B19" s="0" t="s">
        <v>14</v>
      </c>
      <c r="C19" s="0" t="s">
        <v>15</v>
      </c>
      <c r="D19" s="0" t="s">
        <v>16</v>
      </c>
      <c r="E19" s="0" t="n">
        <v>142</v>
      </c>
      <c r="F19" s="0" t="n">
        <v>1400</v>
      </c>
      <c r="G19" s="0" t="n">
        <v>9600</v>
      </c>
    </row>
    <row r="20" customFormat="false" ht="15" hidden="false" customHeight="false" outlineLevel="0" collapsed="false">
      <c r="A20" s="0" t="s">
        <v>50</v>
      </c>
      <c r="B20" s="0" t="s">
        <v>8</v>
      </c>
      <c r="C20" s="0" t="s">
        <v>9</v>
      </c>
      <c r="D20" s="0" t="s">
        <v>10</v>
      </c>
      <c r="E20" s="0" t="n">
        <v>310</v>
      </c>
      <c r="F20" s="0" t="n">
        <v>1000</v>
      </c>
      <c r="G20" s="0" t="n">
        <v>13500</v>
      </c>
    </row>
    <row r="21" customFormat="false" ht="15" hidden="false" customHeight="false" outlineLevel="0" collapsed="false">
      <c r="A21" s="0" t="s">
        <v>51</v>
      </c>
      <c r="B21" s="0" t="s">
        <v>11</v>
      </c>
      <c r="C21" s="0" t="s">
        <v>12</v>
      </c>
      <c r="D21" s="0" t="s">
        <v>13</v>
      </c>
      <c r="E21" s="0" t="n">
        <v>185.5</v>
      </c>
      <c r="F21" s="0" t="n">
        <v>1750</v>
      </c>
      <c r="G21" s="0" t="n">
        <v>13000</v>
      </c>
    </row>
    <row r="22" customFormat="false" ht="15" hidden="false" customHeight="false" outlineLevel="0" collapsed="false">
      <c r="A22" s="0" t="s">
        <v>52</v>
      </c>
      <c r="B22" s="0" t="s">
        <v>8</v>
      </c>
      <c r="C22" s="0" t="s">
        <v>9</v>
      </c>
      <c r="D22" s="0" t="s">
        <v>10</v>
      </c>
      <c r="E22" s="0" t="n">
        <v>310</v>
      </c>
      <c r="F22" s="0" t="n">
        <v>1000</v>
      </c>
      <c r="G22" s="0" t="n">
        <v>15100</v>
      </c>
    </row>
    <row r="23" customFormat="false" ht="15" hidden="false" customHeight="false" outlineLevel="0" collapsed="false">
      <c r="A23" s="0" t="s">
        <v>53</v>
      </c>
      <c r="B23" s="0" t="s">
        <v>11</v>
      </c>
      <c r="C23" s="0" t="s">
        <v>12</v>
      </c>
      <c r="D23" s="0" t="s">
        <v>13</v>
      </c>
      <c r="E23" s="0" t="n">
        <v>185.5</v>
      </c>
      <c r="F23" s="0" t="n">
        <v>1750</v>
      </c>
      <c r="G23" s="0" t="n">
        <v>15850</v>
      </c>
    </row>
    <row r="24" customFormat="false" ht="15" hidden="false" customHeight="false" outlineLevel="0" collapsed="false">
      <c r="A24" s="0" t="s">
        <v>54</v>
      </c>
      <c r="B24" s="0" t="s">
        <v>8</v>
      </c>
      <c r="C24" s="0" t="s">
        <v>9</v>
      </c>
      <c r="D24" s="0" t="s">
        <v>10</v>
      </c>
      <c r="E24" s="0" t="n">
        <v>310</v>
      </c>
      <c r="F24" s="0" t="n">
        <v>2600</v>
      </c>
      <c r="G24" s="0" t="n">
        <v>13500</v>
      </c>
    </row>
    <row r="25" customFormat="false" ht="15" hidden="false" customHeight="false" outlineLevel="0" collapsed="false">
      <c r="A25" s="0" t="s">
        <v>55</v>
      </c>
      <c r="B25" s="0" t="s">
        <v>11</v>
      </c>
      <c r="C25" s="0" t="s">
        <v>12</v>
      </c>
      <c r="D25" s="0" t="s">
        <v>13</v>
      </c>
      <c r="E25" s="0" t="n">
        <v>185.5</v>
      </c>
      <c r="F25" s="0" t="n">
        <v>3350</v>
      </c>
      <c r="G25" s="0" t="n">
        <v>13000</v>
      </c>
    </row>
    <row r="26" customFormat="false" ht="15" hidden="false" customHeight="false" outlineLevel="0" collapsed="false">
      <c r="A26" s="0" t="s">
        <v>56</v>
      </c>
      <c r="B26" s="0" t="s">
        <v>8</v>
      </c>
      <c r="C26" s="0" t="s">
        <v>9</v>
      </c>
      <c r="D26" s="0" t="s">
        <v>10</v>
      </c>
      <c r="E26" s="0" t="n">
        <v>310</v>
      </c>
      <c r="F26" s="0" t="n">
        <v>2600</v>
      </c>
      <c r="G26" s="0" t="n">
        <v>15100</v>
      </c>
    </row>
    <row r="27" customFormat="false" ht="15" hidden="false" customHeight="false" outlineLevel="0" collapsed="false">
      <c r="A27" s="0" t="s">
        <v>57</v>
      </c>
      <c r="B27" s="0" t="s">
        <v>11</v>
      </c>
      <c r="C27" s="0" t="s">
        <v>12</v>
      </c>
      <c r="D27" s="0" t="s">
        <v>13</v>
      </c>
      <c r="E27" s="0" t="n">
        <v>185.5</v>
      </c>
      <c r="F27" s="0" t="n">
        <v>3350</v>
      </c>
      <c r="G27" s="0" t="n">
        <v>15850</v>
      </c>
    </row>
    <row r="28" customFormat="false" ht="15" hidden="false" customHeight="false" outlineLevel="0" collapsed="false">
      <c r="A28" s="0" t="s">
        <v>58</v>
      </c>
      <c r="B28" s="0" t="s">
        <v>14</v>
      </c>
      <c r="C28" s="0" t="s">
        <v>15</v>
      </c>
      <c r="D28" s="0" t="s">
        <v>16</v>
      </c>
      <c r="E28" s="0" t="n">
        <v>142</v>
      </c>
      <c r="F28" s="0" t="n">
        <v>1400</v>
      </c>
      <c r="G28" s="0" t="n">
        <v>16900</v>
      </c>
    </row>
    <row r="29" customFormat="false" ht="15" hidden="false" customHeight="false" outlineLevel="0" collapsed="false">
      <c r="A29" s="0" t="s">
        <v>59</v>
      </c>
      <c r="B29" s="0" t="s">
        <v>8</v>
      </c>
      <c r="C29" s="0" t="s">
        <v>9</v>
      </c>
      <c r="D29" s="0" t="s">
        <v>10</v>
      </c>
      <c r="E29" s="0" t="n">
        <v>310</v>
      </c>
      <c r="F29" s="0" t="n">
        <v>4200</v>
      </c>
      <c r="G29" s="0" t="n">
        <v>2000</v>
      </c>
    </row>
    <row r="30" customFormat="false" ht="15" hidden="false" customHeight="false" outlineLevel="0" collapsed="false">
      <c r="A30" s="0" t="s">
        <v>60</v>
      </c>
      <c r="B30" s="0" t="s">
        <v>11</v>
      </c>
      <c r="C30" s="0" t="s">
        <v>12</v>
      </c>
      <c r="D30" s="0" t="s">
        <v>13</v>
      </c>
      <c r="E30" s="0" t="n">
        <v>185.5</v>
      </c>
      <c r="F30" s="0" t="n">
        <v>4950</v>
      </c>
      <c r="G30" s="0" t="n">
        <v>1500</v>
      </c>
    </row>
    <row r="31" customFormat="false" ht="15" hidden="false" customHeight="false" outlineLevel="0" collapsed="false">
      <c r="A31" s="0" t="s">
        <v>61</v>
      </c>
      <c r="B31" s="0" t="s">
        <v>8</v>
      </c>
      <c r="C31" s="0" t="s">
        <v>9</v>
      </c>
      <c r="D31" s="0" t="s">
        <v>10</v>
      </c>
      <c r="E31" s="0" t="n">
        <v>310</v>
      </c>
      <c r="F31" s="0" t="n">
        <v>4200</v>
      </c>
      <c r="G31" s="0" t="n">
        <v>3600</v>
      </c>
    </row>
    <row r="32" customFormat="false" ht="15" hidden="false" customHeight="false" outlineLevel="0" collapsed="false">
      <c r="A32" s="0" t="s">
        <v>62</v>
      </c>
      <c r="B32" s="0" t="s">
        <v>11</v>
      </c>
      <c r="C32" s="0" t="s">
        <v>12</v>
      </c>
      <c r="D32" s="0" t="s">
        <v>13</v>
      </c>
      <c r="E32" s="0" t="n">
        <v>185.5</v>
      </c>
      <c r="F32" s="0" t="n">
        <v>4950</v>
      </c>
      <c r="G32" s="0" t="n">
        <v>4350</v>
      </c>
    </row>
    <row r="33" customFormat="false" ht="15" hidden="false" customHeight="false" outlineLevel="0" collapsed="false">
      <c r="A33" s="0" t="s">
        <v>63</v>
      </c>
      <c r="B33" s="0" t="s">
        <v>8</v>
      </c>
      <c r="C33" s="0" t="s">
        <v>9</v>
      </c>
      <c r="D33" s="0" t="s">
        <v>10</v>
      </c>
      <c r="E33" s="0" t="n">
        <v>310</v>
      </c>
      <c r="F33" s="0" t="n">
        <v>5800</v>
      </c>
      <c r="G33" s="0" t="n">
        <v>2000</v>
      </c>
    </row>
    <row r="34" customFormat="false" ht="15" hidden="false" customHeight="false" outlineLevel="0" collapsed="false">
      <c r="A34" s="0" t="s">
        <v>64</v>
      </c>
      <c r="B34" s="0" t="s">
        <v>11</v>
      </c>
      <c r="C34" s="0" t="s">
        <v>12</v>
      </c>
      <c r="D34" s="0" t="s">
        <v>13</v>
      </c>
      <c r="E34" s="0" t="n">
        <v>185.5</v>
      </c>
      <c r="F34" s="0" t="n">
        <v>6550</v>
      </c>
      <c r="G34" s="0" t="n">
        <v>1500</v>
      </c>
    </row>
    <row r="35" customFormat="false" ht="15" hidden="false" customHeight="false" outlineLevel="0" collapsed="false">
      <c r="A35" s="0" t="s">
        <v>65</v>
      </c>
      <c r="B35" s="0" t="s">
        <v>8</v>
      </c>
      <c r="C35" s="0" t="s">
        <v>9</v>
      </c>
      <c r="D35" s="0" t="s">
        <v>10</v>
      </c>
      <c r="E35" s="0" t="n">
        <v>310</v>
      </c>
      <c r="F35" s="0" t="n">
        <v>5800</v>
      </c>
      <c r="G35" s="0" t="n">
        <v>3600</v>
      </c>
    </row>
    <row r="36" customFormat="false" ht="15" hidden="false" customHeight="false" outlineLevel="0" collapsed="false">
      <c r="A36" s="0" t="s">
        <v>66</v>
      </c>
      <c r="B36" s="0" t="s">
        <v>11</v>
      </c>
      <c r="C36" s="0" t="s">
        <v>12</v>
      </c>
      <c r="D36" s="0" t="s">
        <v>13</v>
      </c>
      <c r="E36" s="0" t="n">
        <v>185.5</v>
      </c>
      <c r="F36" s="0" t="n">
        <v>6550</v>
      </c>
      <c r="G36" s="0" t="n">
        <v>4350</v>
      </c>
    </row>
    <row r="37" customFormat="false" ht="15" hidden="false" customHeight="false" outlineLevel="0" collapsed="false">
      <c r="A37" s="0" t="s">
        <v>67</v>
      </c>
      <c r="B37" s="0" t="s">
        <v>14</v>
      </c>
      <c r="C37" s="0" t="s">
        <v>15</v>
      </c>
      <c r="D37" s="0" t="s">
        <v>16</v>
      </c>
      <c r="E37" s="0" t="n">
        <v>142</v>
      </c>
      <c r="F37" s="0" t="n">
        <v>4600</v>
      </c>
      <c r="G37" s="0" t="n">
        <v>5400</v>
      </c>
    </row>
    <row r="38" customFormat="false" ht="15" hidden="false" customHeight="false" outlineLevel="0" collapsed="false">
      <c r="A38" s="0" t="s">
        <v>68</v>
      </c>
      <c r="B38" s="0" t="s">
        <v>8</v>
      </c>
      <c r="C38" s="0" t="s">
        <v>9</v>
      </c>
      <c r="D38" s="0" t="s">
        <v>10</v>
      </c>
      <c r="E38" s="0" t="n">
        <v>310</v>
      </c>
      <c r="F38" s="0" t="n">
        <v>4200</v>
      </c>
      <c r="G38" s="0" t="n">
        <v>6200</v>
      </c>
    </row>
    <row r="39" customFormat="false" ht="15" hidden="false" customHeight="false" outlineLevel="0" collapsed="false">
      <c r="A39" s="0" t="s">
        <v>69</v>
      </c>
      <c r="B39" s="0" t="s">
        <v>11</v>
      </c>
      <c r="C39" s="0" t="s">
        <v>12</v>
      </c>
      <c r="D39" s="0" t="s">
        <v>13</v>
      </c>
      <c r="E39" s="0" t="n">
        <v>185.5</v>
      </c>
      <c r="F39" s="0" t="n">
        <v>4950</v>
      </c>
      <c r="G39" s="0" t="n">
        <v>5700</v>
      </c>
    </row>
    <row r="40" customFormat="false" ht="15" hidden="false" customHeight="false" outlineLevel="0" collapsed="false">
      <c r="A40" s="0" t="s">
        <v>70</v>
      </c>
      <c r="B40" s="0" t="s">
        <v>8</v>
      </c>
      <c r="C40" s="0" t="s">
        <v>9</v>
      </c>
      <c r="D40" s="0" t="s">
        <v>10</v>
      </c>
      <c r="E40" s="0" t="n">
        <v>310</v>
      </c>
      <c r="F40" s="0" t="n">
        <v>4200</v>
      </c>
      <c r="G40" s="0" t="n">
        <v>7800</v>
      </c>
    </row>
    <row r="41" customFormat="false" ht="15" hidden="false" customHeight="false" outlineLevel="0" collapsed="false">
      <c r="A41" s="0" t="s">
        <v>71</v>
      </c>
      <c r="B41" s="0" t="s">
        <v>11</v>
      </c>
      <c r="C41" s="0" t="s">
        <v>12</v>
      </c>
      <c r="D41" s="0" t="s">
        <v>13</v>
      </c>
      <c r="E41" s="0" t="n">
        <v>185.5</v>
      </c>
      <c r="F41" s="0" t="n">
        <v>4950</v>
      </c>
      <c r="G41" s="0" t="n">
        <v>8550</v>
      </c>
    </row>
    <row r="42" customFormat="false" ht="15" hidden="false" customHeight="false" outlineLevel="0" collapsed="false">
      <c r="A42" s="0" t="s">
        <v>72</v>
      </c>
      <c r="B42" s="0" t="s">
        <v>8</v>
      </c>
      <c r="C42" s="0" t="s">
        <v>9</v>
      </c>
      <c r="D42" s="0" t="s">
        <v>10</v>
      </c>
      <c r="E42" s="0" t="n">
        <v>310</v>
      </c>
      <c r="F42" s="0" t="n">
        <v>5800</v>
      </c>
      <c r="G42" s="0" t="n">
        <v>6200</v>
      </c>
    </row>
    <row r="43" customFormat="false" ht="15" hidden="false" customHeight="false" outlineLevel="0" collapsed="false">
      <c r="A43" s="0" t="s">
        <v>73</v>
      </c>
      <c r="B43" s="0" t="s">
        <v>11</v>
      </c>
      <c r="C43" s="0" t="s">
        <v>12</v>
      </c>
      <c r="D43" s="0" t="s">
        <v>13</v>
      </c>
      <c r="E43" s="0" t="n">
        <v>185.5</v>
      </c>
      <c r="F43" s="0" t="n">
        <v>6550</v>
      </c>
      <c r="G43" s="0" t="n">
        <v>5700</v>
      </c>
    </row>
    <row r="44" customFormat="false" ht="15" hidden="false" customHeight="false" outlineLevel="0" collapsed="false">
      <c r="A44" s="0" t="s">
        <v>74</v>
      </c>
      <c r="B44" s="0" t="s">
        <v>8</v>
      </c>
      <c r="C44" s="0" t="s">
        <v>9</v>
      </c>
      <c r="D44" s="0" t="s">
        <v>10</v>
      </c>
      <c r="E44" s="0" t="n">
        <v>310</v>
      </c>
      <c r="F44" s="0" t="n">
        <v>5800</v>
      </c>
      <c r="G44" s="0" t="n">
        <v>7800</v>
      </c>
    </row>
    <row r="45" customFormat="false" ht="15" hidden="false" customHeight="false" outlineLevel="0" collapsed="false">
      <c r="A45" s="0" t="s">
        <v>75</v>
      </c>
      <c r="B45" s="0" t="s">
        <v>11</v>
      </c>
      <c r="C45" s="0" t="s">
        <v>12</v>
      </c>
      <c r="D45" s="0" t="s">
        <v>13</v>
      </c>
      <c r="E45" s="0" t="n">
        <v>185.5</v>
      </c>
      <c r="F45" s="0" t="n">
        <v>6550</v>
      </c>
      <c r="G45" s="0" t="n">
        <v>8550</v>
      </c>
    </row>
    <row r="46" customFormat="false" ht="15" hidden="false" customHeight="false" outlineLevel="0" collapsed="false">
      <c r="A46" s="0" t="s">
        <v>76</v>
      </c>
      <c r="B46" s="0" t="s">
        <v>14</v>
      </c>
      <c r="C46" s="0" t="s">
        <v>15</v>
      </c>
      <c r="D46" s="0" t="s">
        <v>16</v>
      </c>
      <c r="E46" s="0" t="n">
        <v>142</v>
      </c>
      <c r="F46" s="0" t="n">
        <v>4600</v>
      </c>
      <c r="G46" s="0" t="n">
        <v>9600</v>
      </c>
    </row>
    <row r="47" customFormat="false" ht="15" hidden="false" customHeight="false" outlineLevel="0" collapsed="false">
      <c r="A47" s="0" t="s">
        <v>77</v>
      </c>
      <c r="B47" s="0" t="s">
        <v>8</v>
      </c>
      <c r="C47" s="0" t="s">
        <v>9</v>
      </c>
      <c r="D47" s="0" t="s">
        <v>10</v>
      </c>
      <c r="E47" s="0" t="n">
        <v>310</v>
      </c>
      <c r="F47" s="0" t="n">
        <v>4200</v>
      </c>
      <c r="G47" s="0" t="n">
        <v>13500</v>
      </c>
    </row>
    <row r="48" customFormat="false" ht="15" hidden="false" customHeight="false" outlineLevel="0" collapsed="false">
      <c r="A48" s="0" t="s">
        <v>78</v>
      </c>
      <c r="B48" s="0" t="s">
        <v>11</v>
      </c>
      <c r="C48" s="0" t="s">
        <v>12</v>
      </c>
      <c r="D48" s="0" t="s">
        <v>13</v>
      </c>
      <c r="E48" s="0" t="n">
        <v>185.5</v>
      </c>
      <c r="F48" s="0" t="n">
        <v>4950</v>
      </c>
      <c r="G48" s="0" t="n">
        <v>13000</v>
      </c>
    </row>
    <row r="49" customFormat="false" ht="15" hidden="false" customHeight="false" outlineLevel="0" collapsed="false">
      <c r="A49" s="0" t="s">
        <v>79</v>
      </c>
      <c r="B49" s="0" t="s">
        <v>8</v>
      </c>
      <c r="C49" s="0" t="s">
        <v>9</v>
      </c>
      <c r="D49" s="0" t="s">
        <v>10</v>
      </c>
      <c r="E49" s="0" t="n">
        <v>310</v>
      </c>
      <c r="F49" s="0" t="n">
        <v>4200</v>
      </c>
      <c r="G49" s="0" t="n">
        <v>15100</v>
      </c>
    </row>
    <row r="50" customFormat="false" ht="15" hidden="false" customHeight="false" outlineLevel="0" collapsed="false">
      <c r="A50" s="0" t="s">
        <v>80</v>
      </c>
      <c r="B50" s="0" t="s">
        <v>11</v>
      </c>
      <c r="C50" s="0" t="s">
        <v>12</v>
      </c>
      <c r="D50" s="0" t="s">
        <v>13</v>
      </c>
      <c r="E50" s="0" t="n">
        <v>185.5</v>
      </c>
      <c r="F50" s="0" t="n">
        <v>4950</v>
      </c>
      <c r="G50" s="0" t="n">
        <v>15850</v>
      </c>
    </row>
    <row r="51" customFormat="false" ht="15" hidden="false" customHeight="false" outlineLevel="0" collapsed="false">
      <c r="A51" s="0" t="s">
        <v>81</v>
      </c>
      <c r="B51" s="0" t="s">
        <v>8</v>
      </c>
      <c r="C51" s="0" t="s">
        <v>9</v>
      </c>
      <c r="D51" s="0" t="s">
        <v>10</v>
      </c>
      <c r="E51" s="0" t="n">
        <v>310</v>
      </c>
      <c r="F51" s="0" t="n">
        <v>5800</v>
      </c>
      <c r="G51" s="0" t="n">
        <v>13500</v>
      </c>
    </row>
    <row r="52" customFormat="false" ht="15" hidden="false" customHeight="false" outlineLevel="0" collapsed="false">
      <c r="A52" s="0" t="s">
        <v>82</v>
      </c>
      <c r="B52" s="0" t="s">
        <v>11</v>
      </c>
      <c r="C52" s="0" t="s">
        <v>12</v>
      </c>
      <c r="D52" s="0" t="s">
        <v>13</v>
      </c>
      <c r="E52" s="0" t="n">
        <v>185.5</v>
      </c>
      <c r="F52" s="0" t="n">
        <v>6550</v>
      </c>
      <c r="G52" s="0" t="n">
        <v>13000</v>
      </c>
    </row>
    <row r="53" customFormat="false" ht="15" hidden="false" customHeight="false" outlineLevel="0" collapsed="false">
      <c r="A53" s="0" t="s">
        <v>83</v>
      </c>
      <c r="B53" s="0" t="s">
        <v>8</v>
      </c>
      <c r="C53" s="0" t="s">
        <v>9</v>
      </c>
      <c r="D53" s="0" t="s">
        <v>10</v>
      </c>
      <c r="E53" s="0" t="n">
        <v>310</v>
      </c>
      <c r="F53" s="0" t="n">
        <v>5800</v>
      </c>
      <c r="G53" s="0" t="n">
        <v>15100</v>
      </c>
    </row>
    <row r="54" customFormat="false" ht="15" hidden="false" customHeight="false" outlineLevel="0" collapsed="false">
      <c r="A54" s="0" t="s">
        <v>84</v>
      </c>
      <c r="B54" s="0" t="s">
        <v>11</v>
      </c>
      <c r="C54" s="0" t="s">
        <v>12</v>
      </c>
      <c r="D54" s="0" t="s">
        <v>13</v>
      </c>
      <c r="E54" s="0" t="n">
        <v>185.5</v>
      </c>
      <c r="F54" s="0" t="n">
        <v>6550</v>
      </c>
      <c r="G54" s="0" t="n">
        <v>15850</v>
      </c>
    </row>
    <row r="55" customFormat="false" ht="15" hidden="false" customHeight="false" outlineLevel="0" collapsed="false">
      <c r="A55" s="0" t="s">
        <v>85</v>
      </c>
      <c r="B55" s="0" t="s">
        <v>14</v>
      </c>
      <c r="C55" s="0" t="s">
        <v>15</v>
      </c>
      <c r="D55" s="0" t="s">
        <v>16</v>
      </c>
      <c r="E55" s="0" t="n">
        <v>142</v>
      </c>
      <c r="F55" s="0" t="n">
        <v>4600</v>
      </c>
      <c r="G55" s="0" t="n">
        <v>16900</v>
      </c>
    </row>
    <row r="56" customFormat="false" ht="15" hidden="false" customHeight="false" outlineLevel="0" collapsed="false">
      <c r="A56" s="0" t="s">
        <v>86</v>
      </c>
      <c r="B56" s="0" t="s">
        <v>8</v>
      </c>
      <c r="C56" s="0" t="s">
        <v>9</v>
      </c>
      <c r="D56" s="0" t="s">
        <v>10</v>
      </c>
      <c r="E56" s="0" t="n">
        <v>310</v>
      </c>
      <c r="F56" s="0" t="n">
        <v>7400</v>
      </c>
      <c r="G56" s="0" t="n">
        <v>2000</v>
      </c>
    </row>
    <row r="57" customFormat="false" ht="15" hidden="false" customHeight="false" outlineLevel="0" collapsed="false">
      <c r="A57" s="0" t="s">
        <v>87</v>
      </c>
      <c r="B57" s="0" t="s">
        <v>11</v>
      </c>
      <c r="C57" s="0" t="s">
        <v>12</v>
      </c>
      <c r="D57" s="0" t="s">
        <v>13</v>
      </c>
      <c r="E57" s="0" t="n">
        <v>185.5</v>
      </c>
      <c r="F57" s="0" t="n">
        <v>8150</v>
      </c>
      <c r="G57" s="0" t="n">
        <v>1500</v>
      </c>
    </row>
    <row r="58" customFormat="false" ht="15" hidden="false" customHeight="false" outlineLevel="0" collapsed="false">
      <c r="A58" s="0" t="s">
        <v>88</v>
      </c>
      <c r="B58" s="0" t="s">
        <v>8</v>
      </c>
      <c r="C58" s="0" t="s">
        <v>9</v>
      </c>
      <c r="D58" s="0" t="s">
        <v>10</v>
      </c>
      <c r="E58" s="0" t="n">
        <v>310</v>
      </c>
      <c r="F58" s="0" t="n">
        <v>7400</v>
      </c>
      <c r="G58" s="0" t="n">
        <v>3600</v>
      </c>
    </row>
    <row r="59" customFormat="false" ht="15" hidden="false" customHeight="false" outlineLevel="0" collapsed="false">
      <c r="A59" s="0" t="s">
        <v>89</v>
      </c>
      <c r="B59" s="0" t="s">
        <v>11</v>
      </c>
      <c r="C59" s="0" t="s">
        <v>12</v>
      </c>
      <c r="D59" s="0" t="s">
        <v>13</v>
      </c>
      <c r="E59" s="0" t="n">
        <v>185.5</v>
      </c>
      <c r="F59" s="0" t="n">
        <v>8150</v>
      </c>
      <c r="G59" s="0" t="n">
        <v>4350</v>
      </c>
    </row>
    <row r="60" customFormat="false" ht="15" hidden="false" customHeight="false" outlineLevel="0" collapsed="false">
      <c r="A60" s="0" t="s">
        <v>90</v>
      </c>
      <c r="B60" s="0" t="s">
        <v>8</v>
      </c>
      <c r="C60" s="0" t="s">
        <v>9</v>
      </c>
      <c r="D60" s="0" t="s">
        <v>10</v>
      </c>
      <c r="E60" s="0" t="n">
        <v>310</v>
      </c>
      <c r="F60" s="0" t="n">
        <v>9000</v>
      </c>
      <c r="G60" s="0" t="n">
        <v>2000</v>
      </c>
    </row>
    <row r="61" customFormat="false" ht="15" hidden="false" customHeight="false" outlineLevel="0" collapsed="false">
      <c r="A61" s="0" t="s">
        <v>91</v>
      </c>
      <c r="B61" s="0" t="s">
        <v>11</v>
      </c>
      <c r="C61" s="0" t="s">
        <v>12</v>
      </c>
      <c r="D61" s="0" t="s">
        <v>13</v>
      </c>
      <c r="E61" s="0" t="n">
        <v>185.5</v>
      </c>
      <c r="F61" s="0" t="n">
        <v>9750</v>
      </c>
      <c r="G61" s="0" t="n">
        <v>1500</v>
      </c>
    </row>
    <row r="62" customFormat="false" ht="15" hidden="false" customHeight="false" outlineLevel="0" collapsed="false">
      <c r="A62" s="0" t="s">
        <v>92</v>
      </c>
      <c r="B62" s="0" t="s">
        <v>8</v>
      </c>
      <c r="C62" s="0" t="s">
        <v>9</v>
      </c>
      <c r="D62" s="0" t="s">
        <v>10</v>
      </c>
      <c r="E62" s="0" t="n">
        <v>310</v>
      </c>
      <c r="F62" s="0" t="n">
        <v>9000</v>
      </c>
      <c r="G62" s="0" t="n">
        <v>3600</v>
      </c>
    </row>
    <row r="63" customFormat="false" ht="15" hidden="false" customHeight="false" outlineLevel="0" collapsed="false">
      <c r="A63" s="0" t="s">
        <v>93</v>
      </c>
      <c r="B63" s="0" t="s">
        <v>11</v>
      </c>
      <c r="C63" s="0" t="s">
        <v>12</v>
      </c>
      <c r="D63" s="0" t="s">
        <v>13</v>
      </c>
      <c r="E63" s="0" t="n">
        <v>185.5</v>
      </c>
      <c r="F63" s="0" t="n">
        <v>9750</v>
      </c>
      <c r="G63" s="0" t="n">
        <v>4350</v>
      </c>
    </row>
    <row r="64" customFormat="false" ht="15" hidden="false" customHeight="false" outlineLevel="0" collapsed="false">
      <c r="A64" s="0" t="s">
        <v>94</v>
      </c>
      <c r="B64" s="0" t="s">
        <v>14</v>
      </c>
      <c r="C64" s="0" t="s">
        <v>15</v>
      </c>
      <c r="D64" s="0" t="s">
        <v>16</v>
      </c>
      <c r="E64" s="0" t="n">
        <v>142</v>
      </c>
      <c r="F64" s="0" t="n">
        <v>7800</v>
      </c>
      <c r="G64" s="0" t="n">
        <v>5400</v>
      </c>
    </row>
    <row r="65" customFormat="false" ht="15" hidden="false" customHeight="false" outlineLevel="0" collapsed="false">
      <c r="A65" s="0" t="s">
        <v>95</v>
      </c>
      <c r="B65" s="0" t="s">
        <v>8</v>
      </c>
      <c r="C65" s="0" t="s">
        <v>9</v>
      </c>
      <c r="D65" s="0" t="s">
        <v>10</v>
      </c>
      <c r="E65" s="0" t="n">
        <v>310</v>
      </c>
      <c r="F65" s="0" t="n">
        <v>7400</v>
      </c>
      <c r="G65" s="0" t="n">
        <v>6200</v>
      </c>
    </row>
    <row r="66" customFormat="false" ht="15" hidden="false" customHeight="false" outlineLevel="0" collapsed="false">
      <c r="A66" s="0" t="s">
        <v>96</v>
      </c>
      <c r="B66" s="0" t="s">
        <v>11</v>
      </c>
      <c r="C66" s="0" t="s">
        <v>12</v>
      </c>
      <c r="D66" s="0" t="s">
        <v>13</v>
      </c>
      <c r="E66" s="0" t="n">
        <v>185.5</v>
      </c>
      <c r="F66" s="0" t="n">
        <v>8150</v>
      </c>
      <c r="G66" s="0" t="n">
        <v>5700</v>
      </c>
    </row>
    <row r="67" customFormat="false" ht="15" hidden="false" customHeight="false" outlineLevel="0" collapsed="false">
      <c r="A67" s="0" t="s">
        <v>97</v>
      </c>
      <c r="B67" s="0" t="s">
        <v>8</v>
      </c>
      <c r="C67" s="0" t="s">
        <v>9</v>
      </c>
      <c r="D67" s="0" t="s">
        <v>10</v>
      </c>
      <c r="E67" s="0" t="n">
        <v>310</v>
      </c>
      <c r="F67" s="0" t="n">
        <v>7400</v>
      </c>
      <c r="G67" s="0" t="n">
        <v>7800</v>
      </c>
    </row>
    <row r="68" customFormat="false" ht="15" hidden="false" customHeight="false" outlineLevel="0" collapsed="false">
      <c r="A68" s="0" t="s">
        <v>98</v>
      </c>
      <c r="B68" s="0" t="s">
        <v>11</v>
      </c>
      <c r="C68" s="0" t="s">
        <v>12</v>
      </c>
      <c r="D68" s="0" t="s">
        <v>13</v>
      </c>
      <c r="E68" s="0" t="n">
        <v>185.5</v>
      </c>
      <c r="F68" s="0" t="n">
        <v>8150</v>
      </c>
      <c r="G68" s="0" t="n">
        <v>8550</v>
      </c>
    </row>
    <row r="69" customFormat="false" ht="15" hidden="false" customHeight="false" outlineLevel="0" collapsed="false">
      <c r="A69" s="0" t="s">
        <v>99</v>
      </c>
      <c r="B69" s="0" t="s">
        <v>8</v>
      </c>
      <c r="C69" s="0" t="s">
        <v>9</v>
      </c>
      <c r="D69" s="0" t="s">
        <v>10</v>
      </c>
      <c r="E69" s="0" t="n">
        <v>310</v>
      </c>
      <c r="F69" s="0" t="n">
        <v>9000</v>
      </c>
      <c r="G69" s="0" t="n">
        <v>6200</v>
      </c>
    </row>
    <row r="70" customFormat="false" ht="15" hidden="false" customHeight="false" outlineLevel="0" collapsed="false">
      <c r="A70" s="0" t="s">
        <v>100</v>
      </c>
      <c r="B70" s="0" t="s">
        <v>11</v>
      </c>
      <c r="C70" s="0" t="s">
        <v>12</v>
      </c>
      <c r="D70" s="0" t="s">
        <v>13</v>
      </c>
      <c r="E70" s="0" t="n">
        <v>185.5</v>
      </c>
      <c r="F70" s="0" t="n">
        <v>9750</v>
      </c>
      <c r="G70" s="0" t="n">
        <v>5700</v>
      </c>
    </row>
    <row r="71" customFormat="false" ht="15" hidden="false" customHeight="false" outlineLevel="0" collapsed="false">
      <c r="A71" s="0" t="s">
        <v>101</v>
      </c>
      <c r="B71" s="0" t="s">
        <v>8</v>
      </c>
      <c r="C71" s="0" t="s">
        <v>9</v>
      </c>
      <c r="D71" s="0" t="s">
        <v>10</v>
      </c>
      <c r="E71" s="0" t="n">
        <v>310</v>
      </c>
      <c r="F71" s="0" t="n">
        <v>9000</v>
      </c>
      <c r="G71" s="0" t="n">
        <v>7800</v>
      </c>
    </row>
    <row r="72" customFormat="false" ht="15" hidden="false" customHeight="false" outlineLevel="0" collapsed="false">
      <c r="A72" s="0" t="s">
        <v>102</v>
      </c>
      <c r="B72" s="0" t="s">
        <v>11</v>
      </c>
      <c r="C72" s="0" t="s">
        <v>12</v>
      </c>
      <c r="D72" s="0" t="s">
        <v>13</v>
      </c>
      <c r="E72" s="0" t="n">
        <v>185.5</v>
      </c>
      <c r="F72" s="0" t="n">
        <v>9750</v>
      </c>
      <c r="G72" s="0" t="n">
        <v>8550</v>
      </c>
    </row>
    <row r="73" customFormat="false" ht="15" hidden="false" customHeight="false" outlineLevel="0" collapsed="false">
      <c r="A73" s="0" t="s">
        <v>103</v>
      </c>
      <c r="B73" s="0" t="s">
        <v>14</v>
      </c>
      <c r="C73" s="0" t="s">
        <v>15</v>
      </c>
      <c r="D73" s="0" t="s">
        <v>16</v>
      </c>
      <c r="E73" s="0" t="n">
        <v>142</v>
      </c>
      <c r="F73" s="0" t="n">
        <v>7800</v>
      </c>
      <c r="G73" s="0" t="n">
        <v>9600</v>
      </c>
    </row>
    <row r="74" customFormat="false" ht="15" hidden="false" customHeight="false" outlineLevel="0" collapsed="false">
      <c r="A74" s="0" t="s">
        <v>104</v>
      </c>
      <c r="B74" s="0" t="s">
        <v>8</v>
      </c>
      <c r="C74" s="0" t="s">
        <v>9</v>
      </c>
      <c r="D74" s="0" t="s">
        <v>10</v>
      </c>
      <c r="E74" s="0" t="n">
        <v>310</v>
      </c>
      <c r="F74" s="0" t="n">
        <v>7400</v>
      </c>
      <c r="G74" s="0" t="n">
        <v>13500</v>
      </c>
    </row>
    <row r="75" customFormat="false" ht="15" hidden="false" customHeight="false" outlineLevel="0" collapsed="false">
      <c r="A75" s="0" t="s">
        <v>105</v>
      </c>
      <c r="B75" s="0" t="s">
        <v>11</v>
      </c>
      <c r="C75" s="0" t="s">
        <v>12</v>
      </c>
      <c r="D75" s="0" t="s">
        <v>13</v>
      </c>
      <c r="E75" s="0" t="n">
        <v>185.5</v>
      </c>
      <c r="F75" s="0" t="n">
        <v>8150</v>
      </c>
      <c r="G75" s="0" t="n">
        <v>13000</v>
      </c>
    </row>
    <row r="76" customFormat="false" ht="15" hidden="false" customHeight="false" outlineLevel="0" collapsed="false">
      <c r="A76" s="0" t="s">
        <v>106</v>
      </c>
      <c r="B76" s="0" t="s">
        <v>8</v>
      </c>
      <c r="C76" s="0" t="s">
        <v>9</v>
      </c>
      <c r="D76" s="0" t="s">
        <v>10</v>
      </c>
      <c r="E76" s="0" t="n">
        <v>310</v>
      </c>
      <c r="F76" s="0" t="n">
        <v>7400</v>
      </c>
      <c r="G76" s="0" t="n">
        <v>15100</v>
      </c>
    </row>
    <row r="77" customFormat="false" ht="15" hidden="false" customHeight="false" outlineLevel="0" collapsed="false">
      <c r="A77" s="0" t="s">
        <v>107</v>
      </c>
      <c r="B77" s="0" t="s">
        <v>11</v>
      </c>
      <c r="C77" s="0" t="s">
        <v>12</v>
      </c>
      <c r="D77" s="0" t="s">
        <v>13</v>
      </c>
      <c r="E77" s="0" t="n">
        <v>185.5</v>
      </c>
      <c r="F77" s="0" t="n">
        <v>8150</v>
      </c>
      <c r="G77" s="0" t="n">
        <v>15850</v>
      </c>
    </row>
    <row r="78" customFormat="false" ht="15" hidden="false" customHeight="false" outlineLevel="0" collapsed="false">
      <c r="A78" s="0" t="s">
        <v>108</v>
      </c>
      <c r="B78" s="0" t="s">
        <v>8</v>
      </c>
      <c r="C78" s="0" t="s">
        <v>9</v>
      </c>
      <c r="D78" s="0" t="s">
        <v>10</v>
      </c>
      <c r="E78" s="0" t="n">
        <v>310</v>
      </c>
      <c r="F78" s="0" t="n">
        <v>9000</v>
      </c>
      <c r="G78" s="0" t="n">
        <v>13500</v>
      </c>
    </row>
    <row r="79" customFormat="false" ht="15" hidden="false" customHeight="false" outlineLevel="0" collapsed="false">
      <c r="A79" s="0" t="s">
        <v>109</v>
      </c>
      <c r="B79" s="0" t="s">
        <v>11</v>
      </c>
      <c r="C79" s="0" t="s">
        <v>12</v>
      </c>
      <c r="D79" s="0" t="s">
        <v>13</v>
      </c>
      <c r="E79" s="0" t="n">
        <v>185.5</v>
      </c>
      <c r="F79" s="0" t="n">
        <v>9750</v>
      </c>
      <c r="G79" s="0" t="n">
        <v>13000</v>
      </c>
    </row>
    <row r="80" customFormat="false" ht="15" hidden="false" customHeight="false" outlineLevel="0" collapsed="false">
      <c r="A80" s="0" t="s">
        <v>110</v>
      </c>
      <c r="B80" s="0" t="s">
        <v>8</v>
      </c>
      <c r="C80" s="0" t="s">
        <v>9</v>
      </c>
      <c r="D80" s="0" t="s">
        <v>10</v>
      </c>
      <c r="E80" s="0" t="n">
        <v>310</v>
      </c>
      <c r="F80" s="0" t="n">
        <v>9000</v>
      </c>
      <c r="G80" s="0" t="n">
        <v>15100</v>
      </c>
    </row>
    <row r="81" customFormat="false" ht="15" hidden="false" customHeight="false" outlineLevel="0" collapsed="false">
      <c r="A81" s="0" t="s">
        <v>111</v>
      </c>
      <c r="B81" s="0" t="s">
        <v>11</v>
      </c>
      <c r="C81" s="0" t="s">
        <v>12</v>
      </c>
      <c r="D81" s="0" t="s">
        <v>13</v>
      </c>
      <c r="E81" s="0" t="n">
        <v>185.5</v>
      </c>
      <c r="F81" s="0" t="n">
        <v>9750</v>
      </c>
      <c r="G81" s="0" t="n">
        <v>15850</v>
      </c>
    </row>
    <row r="82" customFormat="false" ht="15" hidden="false" customHeight="false" outlineLevel="0" collapsed="false">
      <c r="A82" s="0" t="s">
        <v>112</v>
      </c>
      <c r="B82" s="0" t="s">
        <v>14</v>
      </c>
      <c r="C82" s="0" t="s">
        <v>15</v>
      </c>
      <c r="D82" s="0" t="s">
        <v>16</v>
      </c>
      <c r="E82" s="0" t="n">
        <v>142</v>
      </c>
      <c r="F82" s="0" t="n">
        <v>7800</v>
      </c>
      <c r="G82" s="0" t="n">
        <v>16900</v>
      </c>
    </row>
    <row r="83" customFormat="false" ht="15" hidden="false" customHeight="false" outlineLevel="0" collapsed="false">
      <c r="A83" s="0" t="s">
        <v>113</v>
      </c>
      <c r="B83" s="0" t="s">
        <v>17</v>
      </c>
      <c r="C83" s="0" t="s">
        <v>18</v>
      </c>
      <c r="D83" s="0" t="s">
        <v>10</v>
      </c>
      <c r="E83" s="0" t="n">
        <v>640</v>
      </c>
      <c r="F83" s="0" t="n">
        <v>22000</v>
      </c>
      <c r="G83" s="0" t="n">
        <v>2200</v>
      </c>
    </row>
    <row r="84" customFormat="false" ht="15" hidden="false" customHeight="false" outlineLevel="0" collapsed="false">
      <c r="A84" s="0" t="s">
        <v>114</v>
      </c>
      <c r="B84" s="0" t="s">
        <v>11</v>
      </c>
      <c r="C84" s="0" t="s">
        <v>12</v>
      </c>
      <c r="D84" s="0" t="s">
        <v>13</v>
      </c>
      <c r="E84" s="0" t="n">
        <v>185.5</v>
      </c>
      <c r="F84" s="0" t="n">
        <v>22900</v>
      </c>
      <c r="G84" s="0" t="n">
        <v>1800</v>
      </c>
    </row>
    <row r="85" customFormat="false" ht="15" hidden="false" customHeight="false" outlineLevel="0" collapsed="false">
      <c r="A85" s="0" t="s">
        <v>115</v>
      </c>
      <c r="B85" s="0" t="s">
        <v>14</v>
      </c>
      <c r="C85" s="0" t="s">
        <v>15</v>
      </c>
      <c r="D85" s="0" t="s">
        <v>16</v>
      </c>
      <c r="E85" s="0" t="n">
        <v>142</v>
      </c>
      <c r="F85" s="0" t="n">
        <v>28500</v>
      </c>
      <c r="G85" s="0" t="n">
        <v>4000</v>
      </c>
    </row>
    <row r="86" customFormat="false" ht="15" hidden="false" customHeight="false" outlineLevel="0" collapsed="false">
      <c r="A86" s="0" t="s">
        <v>116</v>
      </c>
      <c r="B86" s="0" t="s">
        <v>17</v>
      </c>
      <c r="C86" s="0" t="s">
        <v>18</v>
      </c>
      <c r="D86" s="0" t="s">
        <v>10</v>
      </c>
      <c r="E86" s="0" t="n">
        <v>640</v>
      </c>
      <c r="F86" s="0" t="n">
        <v>22000</v>
      </c>
      <c r="G86" s="0" t="n">
        <v>6400</v>
      </c>
    </row>
    <row r="87" customFormat="false" ht="15" hidden="false" customHeight="false" outlineLevel="0" collapsed="false">
      <c r="A87" s="0" t="s">
        <v>117</v>
      </c>
      <c r="B87" s="0" t="s">
        <v>11</v>
      </c>
      <c r="C87" s="0" t="s">
        <v>12</v>
      </c>
      <c r="D87" s="0" t="s">
        <v>13</v>
      </c>
      <c r="E87" s="0" t="n">
        <v>185.5</v>
      </c>
      <c r="F87" s="0" t="n">
        <v>22900</v>
      </c>
      <c r="G87" s="0" t="n">
        <v>6000</v>
      </c>
    </row>
    <row r="88" customFormat="false" ht="15" hidden="false" customHeight="false" outlineLevel="0" collapsed="false">
      <c r="A88" s="0" t="s">
        <v>118</v>
      </c>
      <c r="B88" s="0" t="s">
        <v>14</v>
      </c>
      <c r="C88" s="0" t="s">
        <v>15</v>
      </c>
      <c r="D88" s="0" t="s">
        <v>16</v>
      </c>
      <c r="E88" s="0" t="n">
        <v>142</v>
      </c>
      <c r="F88" s="0" t="n">
        <v>28500</v>
      </c>
      <c r="G88" s="0" t="n">
        <v>8200</v>
      </c>
    </row>
    <row r="89" customFormat="false" ht="15" hidden="false" customHeight="false" outlineLevel="0" collapsed="false">
      <c r="A89" s="0" t="s">
        <v>119</v>
      </c>
      <c r="B89" s="0" t="s">
        <v>17</v>
      </c>
      <c r="C89" s="0" t="s">
        <v>18</v>
      </c>
      <c r="D89" s="0" t="s">
        <v>10</v>
      </c>
      <c r="E89" s="0" t="n">
        <v>640</v>
      </c>
      <c r="F89" s="0" t="n">
        <v>22000</v>
      </c>
      <c r="G89" s="0" t="n">
        <v>10600</v>
      </c>
    </row>
    <row r="90" customFormat="false" ht="15" hidden="false" customHeight="false" outlineLevel="0" collapsed="false">
      <c r="A90" s="0" t="s">
        <v>120</v>
      </c>
      <c r="B90" s="0" t="s">
        <v>11</v>
      </c>
      <c r="C90" s="0" t="s">
        <v>12</v>
      </c>
      <c r="D90" s="0" t="s">
        <v>13</v>
      </c>
      <c r="E90" s="0" t="n">
        <v>185.5</v>
      </c>
      <c r="F90" s="0" t="n">
        <v>22900</v>
      </c>
      <c r="G90" s="0" t="n">
        <v>10200</v>
      </c>
    </row>
    <row r="91" customFormat="false" ht="15" hidden="false" customHeight="false" outlineLevel="0" collapsed="false">
      <c r="A91" s="0" t="s">
        <v>121</v>
      </c>
      <c r="B91" s="0" t="s">
        <v>14</v>
      </c>
      <c r="C91" s="0" t="s">
        <v>15</v>
      </c>
      <c r="D91" s="0" t="s">
        <v>16</v>
      </c>
      <c r="E91" s="0" t="n">
        <v>142</v>
      </c>
      <c r="F91" s="0" t="n">
        <v>28500</v>
      </c>
      <c r="G91" s="0" t="n">
        <v>12400</v>
      </c>
    </row>
    <row r="92" customFormat="false" ht="15" hidden="false" customHeight="false" outlineLevel="0" collapsed="false">
      <c r="A92" s="0" t="s">
        <v>122</v>
      </c>
      <c r="B92" s="0" t="s">
        <v>17</v>
      </c>
      <c r="C92" s="0" t="s">
        <v>18</v>
      </c>
      <c r="D92" s="0" t="s">
        <v>10</v>
      </c>
      <c r="E92" s="0" t="n">
        <v>640</v>
      </c>
      <c r="F92" s="0" t="n">
        <v>22000</v>
      </c>
      <c r="G92" s="0" t="n">
        <v>14800</v>
      </c>
    </row>
    <row r="93" customFormat="false" ht="15" hidden="false" customHeight="false" outlineLevel="0" collapsed="false">
      <c r="A93" s="0" t="s">
        <v>123</v>
      </c>
      <c r="B93" s="0" t="s">
        <v>11</v>
      </c>
      <c r="C93" s="0" t="s">
        <v>12</v>
      </c>
      <c r="D93" s="0" t="s">
        <v>13</v>
      </c>
      <c r="E93" s="0" t="n">
        <v>185.5</v>
      </c>
      <c r="F93" s="0" t="n">
        <v>22900</v>
      </c>
      <c r="G93" s="0" t="n">
        <v>14400</v>
      </c>
    </row>
    <row r="94" customFormat="false" ht="15" hidden="false" customHeight="false" outlineLevel="0" collapsed="false">
      <c r="A94" s="0" t="s">
        <v>124</v>
      </c>
      <c r="B94" s="0" t="s">
        <v>14</v>
      </c>
      <c r="C94" s="0" t="s">
        <v>15</v>
      </c>
      <c r="D94" s="0" t="s">
        <v>16</v>
      </c>
      <c r="E94" s="0" t="n">
        <v>142</v>
      </c>
      <c r="F94" s="0" t="n">
        <v>28500</v>
      </c>
      <c r="G94" s="0" t="n">
        <v>16600</v>
      </c>
    </row>
    <row r="95" customFormat="false" ht="15" hidden="false" customHeight="false" outlineLevel="0" collapsed="false">
      <c r="A95" s="0" t="s">
        <v>125</v>
      </c>
      <c r="B95" s="0" t="s">
        <v>19</v>
      </c>
      <c r="C95" s="0" t="s">
        <v>20</v>
      </c>
      <c r="D95" s="0" t="s">
        <v>21</v>
      </c>
      <c r="E95" s="0" t="n">
        <v>1250</v>
      </c>
      <c r="F95" s="0" t="n">
        <v>23000</v>
      </c>
      <c r="G95" s="0" t="n">
        <v>15000</v>
      </c>
    </row>
    <row r="96" customFormat="false" ht="15" hidden="false" customHeight="false" outlineLevel="0" collapsed="false">
      <c r="A96" s="0" t="s">
        <v>126</v>
      </c>
      <c r="B96" s="0" t="s">
        <v>11</v>
      </c>
      <c r="C96" s="0" t="s">
        <v>12</v>
      </c>
      <c r="D96" s="0" t="s">
        <v>13</v>
      </c>
      <c r="E96" s="0" t="n">
        <v>185.5</v>
      </c>
      <c r="F96" s="0" t="n">
        <v>23600</v>
      </c>
      <c r="G96" s="0" t="n">
        <v>14400</v>
      </c>
    </row>
    <row r="97" customFormat="false" ht="15" hidden="false" customHeight="false" outlineLevel="0" collapsed="false">
      <c r="A97" s="0" t="s">
        <v>127</v>
      </c>
      <c r="B97" s="0" t="s">
        <v>11</v>
      </c>
      <c r="C97" s="0" t="s">
        <v>12</v>
      </c>
      <c r="D97" s="0" t="s">
        <v>13</v>
      </c>
      <c r="E97" s="0" t="n">
        <v>185.5</v>
      </c>
      <c r="F97" s="0" t="n">
        <v>23600</v>
      </c>
      <c r="G97" s="0" t="n">
        <v>17000</v>
      </c>
    </row>
    <row r="98" customFormat="false" ht="15" hidden="false" customHeight="false" outlineLevel="0" collapsed="false">
      <c r="A98" s="0" t="s">
        <v>128</v>
      </c>
      <c r="B98" s="0" t="s">
        <v>11</v>
      </c>
      <c r="C98" s="0" t="s">
        <v>12</v>
      </c>
      <c r="D98" s="0" t="s">
        <v>13</v>
      </c>
      <c r="E98" s="0" t="n">
        <v>185.5</v>
      </c>
      <c r="F98" s="0" t="n">
        <v>25000</v>
      </c>
      <c r="G98" s="0" t="n">
        <v>14400</v>
      </c>
    </row>
    <row r="99" customFormat="false" ht="15" hidden="false" customHeight="false" outlineLevel="0" collapsed="false">
      <c r="A99" s="0" t="s">
        <v>129</v>
      </c>
      <c r="B99" s="0" t="s">
        <v>11</v>
      </c>
      <c r="C99" s="0" t="s">
        <v>12</v>
      </c>
      <c r="D99" s="0" t="s">
        <v>13</v>
      </c>
      <c r="E99" s="0" t="n">
        <v>185.5</v>
      </c>
      <c r="F99" s="0" t="n">
        <v>25000</v>
      </c>
      <c r="G99" s="0" t="n">
        <v>17000</v>
      </c>
    </row>
    <row r="100" customFormat="false" ht="15" hidden="false" customHeight="false" outlineLevel="0" collapsed="false">
      <c r="A100" s="0" t="s">
        <v>130</v>
      </c>
      <c r="B100" s="0" t="s">
        <v>11</v>
      </c>
      <c r="C100" s="0" t="s">
        <v>12</v>
      </c>
      <c r="D100" s="0" t="s">
        <v>13</v>
      </c>
      <c r="E100" s="0" t="n">
        <v>185.5</v>
      </c>
      <c r="F100" s="0" t="n">
        <v>26400</v>
      </c>
      <c r="G100" s="0" t="n">
        <v>14400</v>
      </c>
    </row>
    <row r="101" customFormat="false" ht="15" hidden="false" customHeight="false" outlineLevel="0" collapsed="false">
      <c r="A101" s="0" t="s">
        <v>131</v>
      </c>
      <c r="B101" s="0" t="s">
        <v>11</v>
      </c>
      <c r="C101" s="0" t="s">
        <v>12</v>
      </c>
      <c r="D101" s="0" t="s">
        <v>13</v>
      </c>
      <c r="E101" s="0" t="n">
        <v>185.5</v>
      </c>
      <c r="F101" s="0" t="n">
        <v>26400</v>
      </c>
      <c r="G101" s="0" t="n">
        <v>17000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  <col collapsed="false" customWidth="true" hidden="false" outlineLevel="0" max="3" min="3" style="0" width="70"/>
  </cols>
  <sheetData>
    <row r="1" customFormat="false" ht="15" hidden="false" customHeight="false" outlineLevel="0" collapsed="false">
      <c r="A1" s="12" t="s">
        <v>132</v>
      </c>
      <c r="B1" s="12" t="s">
        <v>133</v>
      </c>
      <c r="C1" s="12" t="s">
        <v>134</v>
      </c>
    </row>
    <row r="2" customFormat="false" ht="15" hidden="false" customHeight="false" outlineLevel="0" collapsed="false">
      <c r="A2" s="0" t="s">
        <v>135</v>
      </c>
      <c r="B2" s="0" t="n">
        <v>600</v>
      </c>
      <c r="C2" s="0" t="s">
        <v>136</v>
      </c>
    </row>
    <row r="3" customFormat="false" ht="15" hidden="false" customHeight="false" outlineLevel="0" collapsed="false">
      <c r="A3" s="0" t="s">
        <v>137</v>
      </c>
      <c r="B3" s="0" t="n">
        <f aca="false">B2*10.7639</f>
        <v>6458.34</v>
      </c>
      <c r="C3" s="0" t="s">
        <v>138</v>
      </c>
    </row>
    <row r="4" customFormat="false" ht="15" hidden="false" customHeight="false" outlineLevel="0" collapsed="false">
      <c r="A4" s="0" t="s">
        <v>139</v>
      </c>
      <c r="B4" s="13" t="n">
        <v>150</v>
      </c>
      <c r="C4" s="14" t="s">
        <v>140</v>
      </c>
    </row>
    <row r="5" customFormat="false" ht="15" hidden="false" customHeight="false" outlineLevel="0" collapsed="false">
      <c r="A5" s="0" t="s">
        <v>141</v>
      </c>
      <c r="B5" s="0" t="n">
        <f aca="false">ROUNDUP(B3/B4,0)</f>
        <v>44</v>
      </c>
      <c r="C5" s="0" t="s">
        <v>142</v>
      </c>
    </row>
    <row r="6" customFormat="false" ht="15" hidden="false" customHeight="false" outlineLevel="0" collapsed="false">
      <c r="A6" s="0" t="s">
        <v>143</v>
      </c>
      <c r="B6" s="13" t="n">
        <v>0.15</v>
      </c>
      <c r="C6" s="14" t="s">
        <v>144</v>
      </c>
    </row>
    <row r="7" customFormat="false" ht="15" hidden="false" customHeight="false" outlineLevel="0" collapsed="false">
      <c r="A7" s="0" t="s">
        <v>145</v>
      </c>
      <c r="B7" s="0" t="n">
        <f aca="false">B5*B6</f>
        <v>6.6</v>
      </c>
    </row>
    <row r="8" customFormat="false" ht="15" hidden="false" customHeight="false" outlineLevel="0" collapsed="false">
      <c r="A8" s="0" t="s">
        <v>146</v>
      </c>
      <c r="B8" s="0" t="n">
        <f aca="false">IF(B5&lt;50,36,44)</f>
        <v>36</v>
      </c>
      <c r="C8" s="0" t="s">
        <v>147</v>
      </c>
    </row>
    <row r="9" customFormat="false" ht="15" hidden="false" customHeight="false" outlineLevel="0" collapsed="false">
      <c r="A9" s="0" t="s">
        <v>148</v>
      </c>
      <c r="B9" s="0" t="n">
        <f aca="false">MAX(B7,B8)</f>
        <v>36</v>
      </c>
      <c r="C9" s="0" t="s">
        <v>149</v>
      </c>
    </row>
    <row r="10" customFormat="false" ht="15" hidden="false" customHeight="false" outlineLevel="0" collapsed="false">
      <c r="A10" s="0" t="s">
        <v>150</v>
      </c>
      <c r="B10" s="13" t="n">
        <v>1500</v>
      </c>
      <c r="C10" s="14" t="s">
        <v>151</v>
      </c>
    </row>
    <row r="11" customFormat="false" ht="15" hidden="false" customHeight="false" outlineLevel="0" collapsed="false">
      <c r="A11" s="0" t="s">
        <v>152</v>
      </c>
      <c r="B11" s="0" t="n">
        <f aca="false">B10/25.4</f>
        <v>59.0551181102362</v>
      </c>
    </row>
    <row r="12" customFormat="false" ht="15" hidden="false" customHeight="false" outlineLevel="0" collapsed="false">
      <c r="A12" s="0" t="s">
        <v>153</v>
      </c>
      <c r="B12" s="8" t="str">
        <f aca="false">IF(B11&gt;=B9,"PASS","FAIL")</f>
        <v>PASS</v>
      </c>
      <c r="C12" s="14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2026-07-09T07:20:04Z</dcterms:created>
  <dc:creator>openpyxl</dc:creator>
  <dc:description/>
  <dc:language>en-US</dc:language>
  <cp:lastModifiedBy/>
  <dcterms:modified xsi:type="dcterms:W3CDTF">2026-07-09T07:20:04Z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